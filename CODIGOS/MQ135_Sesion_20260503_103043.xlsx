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s" sheetId="1" state="visible" r:id="rId1"/>
    <sheet name="Estadísticas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00FFFF"/>
      <sz val="13"/>
    </font>
    <font>
      <name val="Arial"/>
      <b val="1"/>
      <color rgb="00CCEEEE"/>
      <sz val="10"/>
    </font>
    <font>
      <name val="Arial"/>
      <color rgb="00CCEEEE"/>
      <sz val="10"/>
    </font>
    <font>
      <name val="Arial"/>
      <b val="1"/>
      <color rgb="0000FFFF"/>
      <sz val="11"/>
    </font>
    <font>
      <name val="Arial"/>
      <b val="1"/>
      <color rgb="00CCEEEE"/>
      <sz val="9"/>
    </font>
    <font>
      <name val="Arial"/>
      <b val="1"/>
      <color rgb="0000C86A"/>
      <sz val="9"/>
    </font>
    <font>
      <name val="Arial"/>
      <color rgb="0000C86A"/>
      <sz val="9"/>
    </font>
    <font>
      <name val="Arial"/>
      <color rgb="00CCEEEE"/>
      <sz val="9"/>
    </font>
    <font>
      <name val="Arial"/>
      <b val="1"/>
      <color rgb="0000C86A"/>
      <sz val="12"/>
    </font>
    <font>
      <name val="Arial"/>
      <b val="1"/>
      <color rgb="0088CC00"/>
      <sz val="9"/>
    </font>
    <font>
      <name val="Arial"/>
      <color rgb="0088CC00"/>
      <sz val="9"/>
    </font>
    <font>
      <name val="Arial"/>
      <b val="1"/>
      <color rgb="0088CC00"/>
      <sz val="12"/>
    </font>
    <font>
      <name val="Arial"/>
      <b val="1"/>
      <color rgb="00FF8800"/>
      <sz val="9"/>
    </font>
    <font>
      <name val="Arial"/>
      <color rgb="00FF8800"/>
      <sz val="9"/>
    </font>
    <font>
      <name val="Arial"/>
      <b val="1"/>
      <color rgb="00FF8800"/>
      <sz val="12"/>
    </font>
    <font>
      <name val="Arial"/>
      <b val="1"/>
      <color rgb="00FF5500"/>
      <sz val="9"/>
    </font>
    <font>
      <name val="Arial"/>
      <color rgb="00FF5500"/>
      <sz val="9"/>
    </font>
    <font>
      <name val="Arial"/>
      <b val="1"/>
      <color rgb="00FF5500"/>
      <sz val="12"/>
    </font>
    <font>
      <name val="Arial"/>
      <b val="1"/>
      <color rgb="00FF2222"/>
      <sz val="9"/>
    </font>
    <font>
      <name val="Arial"/>
      <color rgb="00FF2222"/>
      <sz val="9"/>
    </font>
    <font>
      <name val="Arial"/>
      <b val="1"/>
      <color rgb="00FF2222"/>
      <sz val="12"/>
    </font>
    <font>
      <name val="Arial"/>
      <color rgb="0000C86A"/>
      <sz val="10"/>
    </font>
    <font>
      <name val="Arial"/>
      <b val="1"/>
      <color rgb="0000C86A"/>
      <sz val="10"/>
    </font>
    <font>
      <name val="Arial"/>
      <color rgb="0088CC00"/>
      <sz val="10"/>
    </font>
    <font>
      <name val="Arial"/>
      <b val="1"/>
      <color rgb="0088CC00"/>
      <sz val="10"/>
    </font>
    <font>
      <name val="Arial"/>
      <color rgb="00FF8800"/>
      <sz val="10"/>
    </font>
    <font>
      <name val="Arial"/>
      <b val="1"/>
      <color rgb="00FF8800"/>
      <sz val="10"/>
    </font>
    <font>
      <name val="Arial"/>
      <color rgb="00FF5500"/>
      <sz val="10"/>
    </font>
    <font>
      <name val="Arial"/>
      <b val="1"/>
      <color rgb="00FF5500"/>
      <sz val="10"/>
    </font>
    <font>
      <name val="Arial"/>
      <color rgb="00FF2222"/>
      <sz val="10"/>
    </font>
    <font>
      <name val="Arial"/>
      <b val="1"/>
      <color rgb="00FF2222"/>
      <sz val="10"/>
    </font>
  </fonts>
  <fills count="7">
    <fill>
      <patternFill/>
    </fill>
    <fill>
      <patternFill patternType="gray125"/>
    </fill>
    <fill>
      <patternFill patternType="solid">
        <fgColor rgb="000D1F2D"/>
      </patternFill>
    </fill>
    <fill>
      <patternFill patternType="solid">
        <fgColor rgb="001A3A5A"/>
      </patternFill>
    </fill>
    <fill>
      <patternFill patternType="solid">
        <fgColor rgb="00122030"/>
      </patternFill>
    </fill>
    <fill>
      <patternFill patternType="solid">
        <fgColor rgb="000A1520"/>
      </patternFill>
    </fill>
    <fill>
      <patternFill patternType="solid">
        <fgColor rgb="000D1F30"/>
      </patternFill>
    </fill>
  </fills>
  <borders count="2">
    <border>
      <left/>
      <right/>
      <top/>
      <bottom/>
      <diagonal/>
    </border>
    <border>
      <left style="thin">
        <color rgb="001A3A5A"/>
      </left>
      <right style="thin">
        <color rgb="001A3A5A"/>
      </right>
      <top style="thin">
        <color rgb="001A3A5A"/>
      </top>
      <bottom style="thin">
        <color rgb="001A3A5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3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12" customWidth="1" min="5" max="5"/>
    <col width="11" customWidth="1" min="6" max="6"/>
    <col width="16" customWidth="1" min="7" max="7"/>
    <col width="22" customWidth="1" min="8" max="8"/>
  </cols>
  <sheetData>
    <row r="1" ht="30" customHeight="1">
      <c r="A1" s="1" t="inlineStr">
        <is>
          <t>ESP32 · MQ-135  —  Promedio cada 10 s</t>
        </is>
      </c>
    </row>
    <row r="2" ht="20" customHeight="1">
      <c r="A2" s="2" t="inlineStr">
        <is>
          <t>N°</t>
        </is>
      </c>
      <c r="B2" s="2" t="inlineStr">
        <is>
          <t>Fecha</t>
        </is>
      </c>
      <c r="C2" s="2" t="inlineStr">
        <is>
          <t>Hora</t>
        </is>
      </c>
      <c r="D2" s="2" t="inlineStr">
        <is>
          <t>ADC Promedio</t>
        </is>
      </c>
      <c r="E2" s="2" t="inlineStr">
        <is>
          <t>Voltaje Prom.</t>
        </is>
      </c>
      <c r="F2" s="2" t="inlineStr">
        <is>
          <t>Escala Prom.</t>
        </is>
      </c>
      <c r="G2" s="2" t="inlineStr">
        <is>
          <t>Calidad Promedio</t>
        </is>
      </c>
      <c r="H2" s="2" t="inlineStr">
        <is>
          <t>Sesión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36" customWidth="1" min="4" max="4"/>
  </cols>
  <sheetData>
    <row r="1" ht="30" customHeight="1">
      <c r="A1" s="1" t="inlineStr">
        <is>
          <t>Estadísticas de Sesión · MQ-135</t>
        </is>
      </c>
    </row>
    <row r="2" ht="20" customHeight="1">
      <c r="A2" s="2" t="inlineStr">
        <is>
          <t>Métrica</t>
        </is>
      </c>
      <c r="B2" s="2" t="inlineStr">
        <is>
          <t>Valor</t>
        </is>
      </c>
      <c r="C2" s="2" t="inlineStr">
        <is>
          <t>Unidad</t>
        </is>
      </c>
      <c r="D2" s="2" t="inlineStr">
        <is>
          <t>Descripción</t>
        </is>
      </c>
    </row>
    <row r="3" ht="18" customHeight="1">
      <c r="A3" s="3" t="inlineStr">
        <is>
          <t>Total de promedios</t>
        </is>
      </c>
      <c r="B3" s="4">
        <f>COUNTA(Lecturas!D3:D100000)-1</f>
        <v/>
      </c>
      <c r="C3" s="4" t="inlineStr"/>
      <c r="D3" s="4" t="inlineStr">
        <is>
          <t>Ventanas de 10 s registradas</t>
        </is>
      </c>
    </row>
    <row r="4" ht="18" customHeight="1">
      <c r="A4" s="3" t="inlineStr">
        <is>
          <t>ADC Prom. Mínimo</t>
        </is>
      </c>
      <c r="B4" s="4">
        <f>IF(COUNTA(Lecturas!D3:D100000)&gt;1,MIN(Lecturas!D3:D100000),"—")</f>
        <v/>
      </c>
      <c r="C4" s="4" t="inlineStr">
        <is>
          <t>ADC</t>
        </is>
      </c>
      <c r="D4" s="4" t="inlineStr">
        <is>
          <t>Mínimo de los promedios</t>
        </is>
      </c>
    </row>
    <row r="5" ht="18" customHeight="1">
      <c r="A5" s="3" t="inlineStr">
        <is>
          <t>ADC Prom. Máximo</t>
        </is>
      </c>
      <c r="B5" s="4">
        <f>IF(COUNTA(Lecturas!D3:D100000)&gt;1,MAX(Lecturas!D3:D100000),"—")</f>
        <v/>
      </c>
      <c r="C5" s="4" t="inlineStr">
        <is>
          <t>ADC</t>
        </is>
      </c>
      <c r="D5" s="4" t="inlineStr">
        <is>
          <t>Máximo de los promedios</t>
        </is>
      </c>
    </row>
    <row r="6" ht="18" customHeight="1">
      <c r="A6" s="3" t="inlineStr">
        <is>
          <t>ADC Prom. Promedio</t>
        </is>
      </c>
      <c r="B6" s="4">
        <f>IF(COUNTA(Lecturas!D3:D100000)&gt;1,ROUND(AVERAGE(Lecturas!D3:D100000),1),"—")</f>
        <v/>
      </c>
      <c r="C6" s="4" t="inlineStr">
        <is>
          <t>ADC</t>
        </is>
      </c>
      <c r="D6" s="4" t="inlineStr">
        <is>
          <t>Media de los promedios</t>
        </is>
      </c>
    </row>
    <row r="7" ht="18" customHeight="1">
      <c r="A7" s="3" t="inlineStr">
        <is>
          <t>Desv. Estándar</t>
        </is>
      </c>
      <c r="B7" s="4">
        <f>IF(COUNTA(Lecturas!D3:D100000)&gt;1,ROUND(STDEV(Lecturas!D3:D100000),2),"—")</f>
        <v/>
      </c>
      <c r="C7" s="4" t="inlineStr">
        <is>
          <t>ADC</t>
        </is>
      </c>
      <c r="D7" s="4" t="inlineStr">
        <is>
          <t>Dispersión de los promedios</t>
        </is>
      </c>
    </row>
    <row r="8" ht="18" customHeight="1">
      <c r="A8" s="3" t="inlineStr">
        <is>
          <t>Voltaje Prom. Mínimo</t>
        </is>
      </c>
      <c r="B8" s="4">
        <f>IF(COUNTA(Lecturas!E3:E100000)&gt;1,MIN(Lecturas!E3:E100000),"—")</f>
        <v/>
      </c>
      <c r="C8" s="4" t="inlineStr">
        <is>
          <t>V</t>
        </is>
      </c>
      <c r="D8" s="4" t="inlineStr"/>
    </row>
    <row r="9" ht="18" customHeight="1">
      <c r="A9" s="3" t="inlineStr">
        <is>
          <t>Voltaje Prom. Máximo</t>
        </is>
      </c>
      <c r="B9" s="4">
        <f>IF(COUNTA(Lecturas!E3:E100000)&gt;1,MAX(Lecturas!E3:E100000),"—")</f>
        <v/>
      </c>
      <c r="C9" s="4" t="inlineStr">
        <is>
          <t>V</t>
        </is>
      </c>
      <c r="D9" s="4" t="inlineStr"/>
    </row>
    <row r="10" ht="18" customHeight="1">
      <c r="A10" s="3" t="inlineStr">
        <is>
          <t>Voltaje Prom. Promedio</t>
        </is>
      </c>
      <c r="B10" s="4">
        <f>IF(COUNTA(Lecturas!E3:E100000)&gt;1,ROUND(AVERAGE(Lecturas!E3:E100000),4),"—")</f>
        <v/>
      </c>
      <c r="C10" s="4" t="inlineStr">
        <is>
          <t>V</t>
        </is>
      </c>
      <c r="D10" s="4" t="inlineStr"/>
    </row>
    <row r="11" ht="18" customHeight="1">
      <c r="A11" s="3" t="inlineStr">
        <is>
          <t>Escala Prom. Promedio</t>
        </is>
      </c>
      <c r="B11" s="4">
        <f>IF(COUNTA(Lecturas!F3:F100000)&gt;1,ROUND(AVERAGE(Lecturas!F3:F100000),2),"—")</f>
        <v/>
      </c>
      <c r="C11" s="4" t="inlineStr">
        <is>
          <t>%</t>
        </is>
      </c>
      <c r="D11" s="4" t="inlineStr"/>
    </row>
    <row r="12" ht="18" customHeight="1">
      <c r="A12" s="3" t="inlineStr">
        <is>
          <t>Primer promedio</t>
        </is>
      </c>
      <c r="B12" s="4">
        <f>IF(COUNTA(Lecturas!B3:B3)&gt;0,Lecturas!B3&amp;" "&amp;Lecturas!C3,"—")</f>
        <v/>
      </c>
      <c r="C12" s="4" t="inlineStr"/>
      <c r="D12" s="4" t="inlineStr">
        <is>
          <t>Fecha y hora del primer promedio</t>
        </is>
      </c>
    </row>
    <row r="13" ht="18" customHeight="1">
      <c r="A13" s="3" t="inlineStr">
        <is>
          <t>Último promedio</t>
        </is>
      </c>
      <c r="B13" s="4">
        <f>IF(COUNTA(Lecturas!D3:D100000)&gt;1,INDEX(Lecturas!B3:B100000,COUNTA(Lecturas!B3:B100000))&amp;" "&amp;INDEX(Lecturas!C3:C100000,COUNTA(Lecturas!C3:C100000)),"—")</f>
        <v/>
      </c>
      <c r="C13" s="4" t="inlineStr"/>
      <c r="D13" s="4" t="inlineStr">
        <is>
          <t>Fecha y hora del último promedio</t>
        </is>
      </c>
    </row>
    <row r="15" ht="22" customHeight="1">
      <c r="A15" s="5" t="inlineStr">
        <is>
          <t>Distribución por Calidad del Aire (promedios)</t>
        </is>
      </c>
    </row>
    <row r="16">
      <c r="A16" s="6" t="inlineStr">
        <is>
          <t>Categoría</t>
        </is>
      </c>
      <c r="B16" s="6" t="inlineStr">
        <is>
          <t>Lecturas</t>
        </is>
      </c>
      <c r="C16" s="6" t="inlineStr">
        <is>
          <t>%</t>
        </is>
      </c>
      <c r="D16" s="6" t="inlineStr">
        <is>
          <t>Color referencia</t>
        </is>
      </c>
    </row>
    <row r="17" ht="16" customHeight="1">
      <c r="A17" s="7" t="inlineStr">
        <is>
          <t>EXCELENTE</t>
        </is>
      </c>
      <c r="B17" s="8">
        <f>COUNTIF(Lecturas!G3:G100000,"EXCELENTE")</f>
        <v/>
      </c>
      <c r="C17" s="9">
        <f>IF(B17&gt;0,ROUND(B17/B3*100,1),0)</f>
        <v/>
      </c>
      <c r="D17" s="10" t="inlineStr">
        <is>
          <t>█████</t>
        </is>
      </c>
    </row>
    <row r="18" ht="16" customHeight="1">
      <c r="A18" s="11" t="inlineStr">
        <is>
          <t>BUENO</t>
        </is>
      </c>
      <c r="B18" s="12">
        <f>COUNTIF(Lecturas!G3:G100000,"BUENO")</f>
        <v/>
      </c>
      <c r="C18" s="9">
        <f>IF(B18&gt;0,ROUND(B18/B3*100,1),0)</f>
        <v/>
      </c>
      <c r="D18" s="13" t="inlineStr">
        <is>
          <t>█████</t>
        </is>
      </c>
    </row>
    <row r="19" ht="16" customHeight="1">
      <c r="A19" s="14" t="inlineStr">
        <is>
          <t>MODERADO</t>
        </is>
      </c>
      <c r="B19" s="15">
        <f>COUNTIF(Lecturas!G3:G100000,"MODERADO")</f>
        <v/>
      </c>
      <c r="C19" s="9">
        <f>IF(B19&gt;0,ROUND(B19/B3*100,1),0)</f>
        <v/>
      </c>
      <c r="D19" s="16" t="inlineStr">
        <is>
          <t>█████</t>
        </is>
      </c>
    </row>
    <row r="20" ht="16" customHeight="1">
      <c r="A20" s="17" t="inlineStr">
        <is>
          <t>MALO</t>
        </is>
      </c>
      <c r="B20" s="18">
        <f>COUNTIF(Lecturas!G3:G100000,"MALO")</f>
        <v/>
      </c>
      <c r="C20" s="9">
        <f>IF(B20&gt;0,ROUND(B20/B3*100,1),0)</f>
        <v/>
      </c>
      <c r="D20" s="19" t="inlineStr">
        <is>
          <t>█████</t>
        </is>
      </c>
    </row>
    <row r="21" ht="16" customHeight="1">
      <c r="A21" s="20" t="inlineStr">
        <is>
          <t>PELIGROSO</t>
        </is>
      </c>
      <c r="B21" s="21">
        <f>COUNTIF(Lecturas!G3:G100000,"PELIGROSO")</f>
        <v/>
      </c>
      <c r="C21" s="9">
        <f>IF(B21&gt;0,ROUND(B21/B3*100,1),0)</f>
        <v/>
      </c>
      <c r="D21" s="22" t="inlineStr">
        <is>
          <t>█████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 ht="30" customHeight="1">
      <c r="A1" s="1" t="inlineStr">
        <is>
          <t>Información del Sistema</t>
        </is>
      </c>
    </row>
    <row r="2" ht="18" customHeight="1">
      <c r="A2" s="23" t="inlineStr">
        <is>
          <t>Sensor</t>
        </is>
      </c>
      <c r="B2" s="24" t="inlineStr">
        <is>
          <t>MQ-135 (Gas: CO₂, NH₃, Benceno, Humo)</t>
        </is>
      </c>
    </row>
    <row r="3" ht="18" customHeight="1">
      <c r="A3" s="25" t="inlineStr">
        <is>
          <t>Microcontrolador</t>
        </is>
      </c>
      <c r="B3" s="26" t="inlineStr">
        <is>
          <t>ESP32</t>
        </is>
      </c>
    </row>
    <row r="4" ht="18" customHeight="1">
      <c r="A4" s="23" t="inlineStr">
        <is>
          <t>Resolución ADC</t>
        </is>
      </c>
      <c r="B4" s="24" t="inlineStr">
        <is>
          <t>12-bit (0 – 4095)</t>
        </is>
      </c>
    </row>
    <row r="5" ht="18" customHeight="1">
      <c r="A5" s="25" t="inlineStr">
        <is>
          <t>Voltaje de referencia</t>
        </is>
      </c>
      <c r="B5" s="26" t="inlineStr">
        <is>
          <t>3.3 V</t>
        </is>
      </c>
    </row>
    <row r="6" ht="18" customHeight="1">
      <c r="A6" s="23" t="inlineStr">
        <is>
          <t>Modo de registro</t>
        </is>
      </c>
      <c r="B6" s="24" t="inlineStr">
        <is>
          <t>Promedio cada 10 segundos en Excel</t>
        </is>
      </c>
    </row>
    <row r="7" ht="18" customHeight="1">
      <c r="A7" s="25" t="inlineStr">
        <is>
          <t>Fecha de inicio</t>
        </is>
      </c>
      <c r="B7" s="26" t="inlineStr">
        <is>
          <t>2026-05-03 10:30:43</t>
        </is>
      </c>
    </row>
    <row r="8" ht="18" customHeight="1">
      <c r="A8" s="23" t="inlineStr">
        <is>
          <t>Versión dashboard</t>
        </is>
      </c>
      <c r="B8" s="24" t="inlineStr">
        <is>
          <t>2.0 · ESP32 MQ-135 Pro</t>
        </is>
      </c>
    </row>
    <row r="9" ht="18" customHeight="1">
      <c r="A9" s="25" t="inlineStr">
        <is>
          <t>Archivo generado</t>
        </is>
      </c>
      <c r="B9" s="26" t="inlineStr">
        <is>
          <t>MQ135_Sesion_20260503_103043.xlsx</t>
        </is>
      </c>
    </row>
    <row r="11" ht="20" customHeight="1">
      <c r="A11" s="5" t="inlineStr">
        <is>
          <t>Tabla de Referencia · Calidad del Aire</t>
        </is>
      </c>
    </row>
    <row r="12" ht="16" customHeight="1">
      <c r="A12" s="27" t="inlineStr">
        <is>
          <t>0 – 1200  ADC</t>
        </is>
      </c>
      <c r="B12" s="28" t="inlineStr">
        <is>
          <t>EXCELENTE</t>
        </is>
      </c>
    </row>
    <row r="13" ht="16" customHeight="1">
      <c r="A13" s="29" t="inlineStr">
        <is>
          <t>1200 – 2000  ADC</t>
        </is>
      </c>
      <c r="B13" s="30" t="inlineStr">
        <is>
          <t>BUENO</t>
        </is>
      </c>
    </row>
    <row r="14" ht="16" customHeight="1">
      <c r="A14" s="31" t="inlineStr">
        <is>
          <t>2000 – 2700  ADC</t>
        </is>
      </c>
      <c r="B14" s="32" t="inlineStr">
        <is>
          <t>MODERADO</t>
        </is>
      </c>
    </row>
    <row r="15" ht="16" customHeight="1">
      <c r="A15" s="33" t="inlineStr">
        <is>
          <t>2700 – 3400  ADC</t>
        </is>
      </c>
      <c r="B15" s="34" t="inlineStr">
        <is>
          <t>MALO</t>
        </is>
      </c>
    </row>
    <row r="16" ht="16" customHeight="1">
      <c r="A16" s="35" t="inlineStr">
        <is>
          <t>3400 – 4095  ADC</t>
        </is>
      </c>
      <c r="B16" s="36" t="inlineStr">
        <is>
          <t>PELIGROSO</t>
        </is>
      </c>
    </row>
  </sheetData>
  <mergeCells count="2"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2026-05-03T15:30:43Z</dcterms:created>
  <dcterms:modified xsi:type="dcterms:W3CDTF">2026-05-03T15:30:43Z</dcterms:modified>
</cp:coreProperties>
</file>